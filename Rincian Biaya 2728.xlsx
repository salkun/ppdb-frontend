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PDB 2728\"/>
    </mc:Choice>
  </mc:AlternateContent>
  <xr:revisionPtr revIDLastSave="0" documentId="13_ncr:1_{81A911E2-2234-4A87-A21B-C82C2A4AFD92}" xr6:coauthVersionLast="47" xr6:coauthVersionMax="47" xr10:uidLastSave="{00000000-0000-0000-0000-000000000000}"/>
  <bookViews>
    <workbookView xWindow="-120" yWindow="-120" windowWidth="20730" windowHeight="11160" activeTab="1" xr2:uid="{1F8D4E55-FB36-4748-B20D-830D3661B3E9}"/>
  </bookViews>
  <sheets>
    <sheet name="biaya 2728" sheetId="1" r:id="rId1"/>
    <sheet name="biaya 2728 (2)" sheetId="3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3" l="1"/>
  <c r="F16" i="3" s="1"/>
  <c r="E14" i="3"/>
  <c r="E16" i="3" s="1"/>
  <c r="D14" i="3"/>
  <c r="D16" i="3" s="1"/>
  <c r="C14" i="3"/>
  <c r="C16" i="3" s="1"/>
  <c r="M14" i="1"/>
  <c r="M16" i="1" s="1"/>
  <c r="L14" i="1"/>
  <c r="L16" i="1" s="1"/>
  <c r="K14" i="1"/>
  <c r="K16" i="1" s="1"/>
  <c r="J14" i="1"/>
  <c r="J16" i="1" s="1"/>
  <c r="F14" i="1"/>
  <c r="F16" i="1" s="1"/>
  <c r="E14" i="1"/>
  <c r="E16" i="1" s="1"/>
  <c r="D14" i="1"/>
  <c r="D16" i="1" s="1"/>
  <c r="C14" i="1"/>
  <c r="C16" i="1" s="1"/>
</calcChain>
</file>

<file path=xl/sharedStrings.xml><?xml version="1.0" encoding="utf-8"?>
<sst xmlns="http://schemas.openxmlformats.org/spreadsheetml/2006/main" count="87" uniqueCount="29">
  <si>
    <t>RINCIAN BIAYA</t>
  </si>
  <si>
    <t xml:space="preserve">SMPS 2 AL-MUHAJIRIN </t>
  </si>
  <si>
    <t>TAHUN PELAJARAN 2027-2028</t>
  </si>
  <si>
    <t>No</t>
  </si>
  <si>
    <t xml:space="preserve">Rincian </t>
  </si>
  <si>
    <t>Kelas Reguler</t>
  </si>
  <si>
    <t>Kelas Takhosus (Bahasa, ICT, Tahfidz)</t>
  </si>
  <si>
    <t>Putra</t>
  </si>
  <si>
    <t>Putri</t>
  </si>
  <si>
    <t xml:space="preserve">Putra </t>
  </si>
  <si>
    <t xml:space="preserve">Putri </t>
  </si>
  <si>
    <t xml:space="preserve">Infak Pendidikan Per Bulan </t>
  </si>
  <si>
    <t xml:space="preserve">Pengembangan Sarana Prasarana Pendidikan </t>
  </si>
  <si>
    <t xml:space="preserve">Infak Bangunan </t>
  </si>
  <si>
    <t xml:space="preserve">Kalender, Majalah, Buku Karya Siswa, Buku Hijroti, Raport, Buku Panduan Ibadah, Foto, Kartu Pelajar </t>
  </si>
  <si>
    <t xml:space="preserve">Milad Yayasan </t>
  </si>
  <si>
    <t xml:space="preserve">Ujian Selama Setahun </t>
  </si>
  <si>
    <t xml:space="preserve">Kegiatan Kesiswaan dan Asesmen </t>
  </si>
  <si>
    <t>Seragam Sekolah dan Atribut: Pramuka, Putih Biru, Rompi, Seragam Khas, Seragam Batik, Seragam Muslim, Kaos Olahraga, dan Kerudung (Khusus Putri)</t>
  </si>
  <si>
    <t xml:space="preserve">Infaq Masjid </t>
  </si>
  <si>
    <t>Jumlah</t>
  </si>
  <si>
    <t>Diskon Registrasi Alumni SD Plus Al-Muhajirin Rp 1.200.000</t>
  </si>
  <si>
    <t>Diskon Registrasi Kakak Beradik Non Alumni SD Plus Al-Muhajirin Rp 400.000</t>
  </si>
  <si>
    <t>Belum termasuk biaya Ekstrakulikuler dan Buku Paket</t>
  </si>
  <si>
    <t>Batas waktu Registrasi 3 bulan setelah pengumuman kelulusan (syarat dan ketentuan berlaku)</t>
  </si>
  <si>
    <t>Mengetahui</t>
  </si>
  <si>
    <t>Direktur Kampus 2 Al-Muhajirin,</t>
  </si>
  <si>
    <t xml:space="preserve">Dr. Hj. Zahra Haiza Azmina, M.Ag </t>
  </si>
  <si>
    <t>NIY. 0399056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</si>
</sst>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12">
    <font>
      <sz val="11"/>
      <color theme="1"/>
      <name val="Aptos Narrow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10"/>
      <color theme="1"/>
      <name val="Times New Roman"/>
      <family val="1"/>
    </font>
    <font>
      <b/>
      <sz val="9"/>
      <color theme="0"/>
      <name val="Times New Roman"/>
      <charset val="134"/>
    </font>
    <font>
      <sz val="9"/>
      <color theme="1"/>
      <name val="Aptos Display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164" fontId="6" fillId="2" borderId="0" xfId="0" applyNumberFormat="1" applyFont="1" applyFill="1"/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164" fontId="11" fillId="3" borderId="5" xfId="0" applyNumberFormat="1" applyFont="1" applyFill="1" applyBorder="1" applyAlignment="1">
      <alignment horizontal="right" vertical="center"/>
    </xf>
    <xf numFmtId="0" fontId="11" fillId="0" borderId="0" xfId="0" applyFont="1"/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vertical="center" wrapText="1"/>
    </xf>
    <xf numFmtId="164" fontId="11" fillId="4" borderId="5" xfId="0" applyNumberFormat="1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164" fontId="11" fillId="3" borderId="5" xfId="0" applyNumberFormat="1" applyFont="1" applyFill="1" applyBorder="1" applyAlignment="1">
      <alignment vertical="center"/>
    </xf>
    <xf numFmtId="164" fontId="11" fillId="4" borderId="5" xfId="0" applyNumberFormat="1" applyFont="1" applyFill="1" applyBorder="1" applyAlignment="1">
      <alignment vertical="center"/>
    </xf>
    <xf numFmtId="0" fontId="10" fillId="5" borderId="5" xfId="0" applyFont="1" applyFill="1" applyBorder="1" applyAlignment="1">
      <alignment horizontal="center" vertical="center"/>
    </xf>
    <xf numFmtId="164" fontId="10" fillId="5" borderId="5" xfId="0" applyNumberFormat="1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6597-43D3-4621-88EA-B64BA34E3323}">
  <dimension ref="A1:M50"/>
  <sheetViews>
    <sheetView topLeftCell="A14" zoomScaleNormal="100" workbookViewId="0">
      <selection activeCell="C17" sqref="C17"/>
    </sheetView>
  </sheetViews>
  <sheetFormatPr defaultColWidth="8" defaultRowHeight="11.25"/>
  <cols>
    <col min="1" max="1" width="3.625" style="14" customWidth="1"/>
    <col min="2" max="2" width="39.625" style="15" customWidth="1"/>
    <col min="3" max="6" width="15.5" style="14" customWidth="1"/>
    <col min="7" max="7" width="6.75" style="14" customWidth="1"/>
    <col min="8" max="8" width="3.625" style="14" customWidth="1"/>
    <col min="9" max="9" width="35.25" style="15" customWidth="1"/>
    <col min="10" max="13" width="16.375" style="14" customWidth="1"/>
    <col min="14" max="16384" width="8" style="14"/>
  </cols>
  <sheetData>
    <row r="1" spans="1:13" s="1" customFormat="1" ht="29.25" customHeight="1">
      <c r="A1" s="41" t="s">
        <v>0</v>
      </c>
      <c r="B1" s="41"/>
      <c r="C1" s="41"/>
      <c r="D1" s="41"/>
      <c r="E1" s="41"/>
      <c r="F1" s="41"/>
      <c r="H1" s="41" t="s">
        <v>0</v>
      </c>
      <c r="I1" s="41"/>
      <c r="J1" s="41"/>
      <c r="K1" s="41"/>
      <c r="L1" s="41"/>
      <c r="M1" s="41"/>
    </row>
    <row r="2" spans="1:13" s="1" customFormat="1" ht="29.25" customHeight="1">
      <c r="A2" s="41" t="s">
        <v>1</v>
      </c>
      <c r="B2" s="41"/>
      <c r="C2" s="41"/>
      <c r="D2" s="41"/>
      <c r="E2" s="41"/>
      <c r="F2" s="41"/>
      <c r="H2" s="41" t="s">
        <v>1</v>
      </c>
      <c r="I2" s="41"/>
      <c r="J2" s="41"/>
      <c r="K2" s="41"/>
      <c r="L2" s="41"/>
      <c r="M2" s="41"/>
    </row>
    <row r="3" spans="1:13" s="1" customFormat="1" ht="29.25" customHeight="1">
      <c r="A3" s="41" t="s">
        <v>2</v>
      </c>
      <c r="B3" s="41"/>
      <c r="C3" s="41"/>
      <c r="D3" s="41"/>
      <c r="E3" s="41"/>
      <c r="F3" s="41"/>
      <c r="H3" s="41" t="s">
        <v>2</v>
      </c>
      <c r="I3" s="41"/>
      <c r="J3" s="41"/>
      <c r="K3" s="41"/>
      <c r="L3" s="41"/>
      <c r="M3" s="41"/>
    </row>
    <row r="4" spans="1:13" s="3" customFormat="1" ht="20.25" customHeight="1">
      <c r="A4" s="2"/>
      <c r="B4" s="2"/>
      <c r="C4" s="2"/>
      <c r="D4" s="2"/>
      <c r="H4" s="2"/>
      <c r="I4" s="2"/>
      <c r="J4" s="2"/>
      <c r="K4" s="2"/>
    </row>
    <row r="5" spans="1:13" s="22" customFormat="1" ht="36.75" customHeight="1">
      <c r="A5" s="42" t="s">
        <v>3</v>
      </c>
      <c r="B5" s="44" t="s">
        <v>4</v>
      </c>
      <c r="C5" s="46" t="s">
        <v>5</v>
      </c>
      <c r="D5" s="47"/>
      <c r="E5" s="48" t="s">
        <v>6</v>
      </c>
      <c r="F5" s="49"/>
      <c r="H5" s="42" t="s">
        <v>3</v>
      </c>
      <c r="I5" s="44" t="s">
        <v>4</v>
      </c>
      <c r="J5" s="46" t="s">
        <v>5</v>
      </c>
      <c r="K5" s="47"/>
      <c r="L5" s="48" t="s">
        <v>6</v>
      </c>
      <c r="M5" s="49"/>
    </row>
    <row r="6" spans="1:13" s="24" customFormat="1" ht="28.5" customHeight="1">
      <c r="A6" s="43"/>
      <c r="B6" s="45"/>
      <c r="C6" s="23" t="s">
        <v>7</v>
      </c>
      <c r="D6" s="23" t="s">
        <v>8</v>
      </c>
      <c r="E6" s="23" t="s">
        <v>9</v>
      </c>
      <c r="F6" s="23" t="s">
        <v>10</v>
      </c>
      <c r="H6" s="43"/>
      <c r="I6" s="45"/>
      <c r="J6" s="23" t="s">
        <v>7</v>
      </c>
      <c r="K6" s="23" t="s">
        <v>8</v>
      </c>
      <c r="L6" s="23" t="s">
        <v>9</v>
      </c>
      <c r="M6" s="23" t="s">
        <v>10</v>
      </c>
    </row>
    <row r="7" spans="1:13" s="28" customFormat="1" ht="31.5" customHeight="1">
      <c r="A7" s="25">
        <v>1</v>
      </c>
      <c r="B7" s="26" t="s">
        <v>11</v>
      </c>
      <c r="C7" s="27">
        <v>700000</v>
      </c>
      <c r="D7" s="27">
        <v>700000</v>
      </c>
      <c r="E7" s="27">
        <v>800000</v>
      </c>
      <c r="F7" s="27">
        <v>800000</v>
      </c>
      <c r="H7" s="25">
        <v>1</v>
      </c>
      <c r="I7" s="26" t="s">
        <v>11</v>
      </c>
      <c r="J7" s="27">
        <v>700000</v>
      </c>
      <c r="K7" s="27">
        <v>700000</v>
      </c>
      <c r="L7" s="27">
        <v>800000</v>
      </c>
      <c r="M7" s="27">
        <v>800000</v>
      </c>
    </row>
    <row r="8" spans="1:13" s="32" customFormat="1" ht="41.25" customHeight="1">
      <c r="A8" s="29">
        <v>2</v>
      </c>
      <c r="B8" s="30" t="s">
        <v>12</v>
      </c>
      <c r="C8" s="31">
        <v>2500000</v>
      </c>
      <c r="D8" s="31">
        <v>2500000</v>
      </c>
      <c r="E8" s="31">
        <v>2500000</v>
      </c>
      <c r="F8" s="31">
        <v>2500000</v>
      </c>
      <c r="H8" s="29">
        <v>2</v>
      </c>
      <c r="I8" s="30" t="s">
        <v>12</v>
      </c>
      <c r="J8" s="31">
        <v>2500000</v>
      </c>
      <c r="K8" s="31">
        <v>2500000</v>
      </c>
      <c r="L8" s="31">
        <v>2500000</v>
      </c>
      <c r="M8" s="31">
        <v>2500000</v>
      </c>
    </row>
    <row r="9" spans="1:13" s="28" customFormat="1" ht="22.5" customHeight="1">
      <c r="A9" s="25">
        <v>3</v>
      </c>
      <c r="B9" s="26" t="s">
        <v>13</v>
      </c>
      <c r="C9" s="33">
        <v>4000000</v>
      </c>
      <c r="D9" s="33">
        <v>4000000</v>
      </c>
      <c r="E9" s="33">
        <v>4000000</v>
      </c>
      <c r="F9" s="33">
        <v>4000000</v>
      </c>
      <c r="H9" s="25">
        <v>3</v>
      </c>
      <c r="I9" s="26" t="s">
        <v>13</v>
      </c>
      <c r="J9" s="33">
        <v>4000000</v>
      </c>
      <c r="K9" s="33">
        <v>4000000</v>
      </c>
      <c r="L9" s="33">
        <v>4000000</v>
      </c>
      <c r="M9" s="33">
        <v>4000000</v>
      </c>
    </row>
    <row r="10" spans="1:13" s="32" customFormat="1" ht="76.5" customHeight="1">
      <c r="A10" s="29">
        <v>4</v>
      </c>
      <c r="B10" s="30" t="s">
        <v>14</v>
      </c>
      <c r="C10" s="31">
        <v>550000</v>
      </c>
      <c r="D10" s="31">
        <v>550000</v>
      </c>
      <c r="E10" s="31">
        <v>550000</v>
      </c>
      <c r="F10" s="31">
        <v>550000</v>
      </c>
      <c r="H10" s="29">
        <v>4</v>
      </c>
      <c r="I10" s="30" t="s">
        <v>14</v>
      </c>
      <c r="J10" s="31">
        <v>550000</v>
      </c>
      <c r="K10" s="31">
        <v>550000</v>
      </c>
      <c r="L10" s="31">
        <v>550000</v>
      </c>
      <c r="M10" s="31">
        <v>550000</v>
      </c>
    </row>
    <row r="11" spans="1:13" s="28" customFormat="1" ht="19.5" customHeight="1">
      <c r="A11" s="25">
        <v>5</v>
      </c>
      <c r="B11" s="26" t="s">
        <v>15</v>
      </c>
      <c r="C11" s="33">
        <v>100000</v>
      </c>
      <c r="D11" s="33">
        <v>100000</v>
      </c>
      <c r="E11" s="33">
        <v>100000</v>
      </c>
      <c r="F11" s="33">
        <v>100000</v>
      </c>
      <c r="H11" s="25">
        <v>5</v>
      </c>
      <c r="I11" s="26" t="s">
        <v>15</v>
      </c>
      <c r="J11" s="33">
        <v>100000</v>
      </c>
      <c r="K11" s="33">
        <v>100000</v>
      </c>
      <c r="L11" s="33">
        <v>100000</v>
      </c>
      <c r="M11" s="33">
        <v>100000</v>
      </c>
    </row>
    <row r="12" spans="1:13" s="28" customFormat="1" ht="19.5" customHeight="1">
      <c r="A12" s="29">
        <v>6</v>
      </c>
      <c r="B12" s="30" t="s">
        <v>16</v>
      </c>
      <c r="C12" s="34">
        <v>800000</v>
      </c>
      <c r="D12" s="34">
        <v>800000</v>
      </c>
      <c r="E12" s="34">
        <v>800000</v>
      </c>
      <c r="F12" s="34">
        <v>800000</v>
      </c>
      <c r="H12" s="29">
        <v>6</v>
      </c>
      <c r="I12" s="30" t="s">
        <v>16</v>
      </c>
      <c r="J12" s="34">
        <v>800000</v>
      </c>
      <c r="K12" s="34">
        <v>800000</v>
      </c>
      <c r="L12" s="34">
        <v>800000</v>
      </c>
      <c r="M12" s="34">
        <v>800000</v>
      </c>
    </row>
    <row r="13" spans="1:13" s="28" customFormat="1" ht="39" customHeight="1">
      <c r="A13" s="25">
        <v>7</v>
      </c>
      <c r="B13" s="26" t="s">
        <v>17</v>
      </c>
      <c r="C13" s="33">
        <v>550000</v>
      </c>
      <c r="D13" s="33">
        <v>550000</v>
      </c>
      <c r="E13" s="33">
        <v>550000</v>
      </c>
      <c r="F13" s="33">
        <v>550000</v>
      </c>
      <c r="H13" s="25">
        <v>7</v>
      </c>
      <c r="I13" s="26" t="s">
        <v>17</v>
      </c>
      <c r="J13" s="33">
        <v>550000</v>
      </c>
      <c r="K13" s="33">
        <v>550000</v>
      </c>
      <c r="L13" s="33">
        <v>550000</v>
      </c>
      <c r="M13" s="33">
        <v>550000</v>
      </c>
    </row>
    <row r="14" spans="1:13" s="24" customFormat="1" ht="115.5" customHeight="1">
      <c r="A14" s="29">
        <v>8</v>
      </c>
      <c r="B14" s="30" t="s">
        <v>18</v>
      </c>
      <c r="C14" s="34">
        <f>1565000+30000</f>
        <v>1595000</v>
      </c>
      <c r="D14" s="34">
        <f>1765000+30000</f>
        <v>1795000</v>
      </c>
      <c r="E14" s="34">
        <f>1565000+30000</f>
        <v>1595000</v>
      </c>
      <c r="F14" s="34">
        <f>1765000+30000</f>
        <v>1795000</v>
      </c>
      <c r="H14" s="29">
        <v>8</v>
      </c>
      <c r="I14" s="30" t="s">
        <v>18</v>
      </c>
      <c r="J14" s="34">
        <f>1565000+30000</f>
        <v>1595000</v>
      </c>
      <c r="K14" s="34">
        <f>1765000+30000</f>
        <v>1795000</v>
      </c>
      <c r="L14" s="34">
        <f>1565000+30000</f>
        <v>1595000</v>
      </c>
      <c r="M14" s="34">
        <f>1765000+30000</f>
        <v>1795000</v>
      </c>
    </row>
    <row r="15" spans="1:13" s="28" customFormat="1" ht="20.25" customHeight="1">
      <c r="A15" s="25">
        <v>9</v>
      </c>
      <c r="B15" s="26" t="s">
        <v>19</v>
      </c>
      <c r="C15" s="33">
        <v>150000</v>
      </c>
      <c r="D15" s="33">
        <v>150000</v>
      </c>
      <c r="E15" s="33">
        <v>150000</v>
      </c>
      <c r="F15" s="33">
        <v>150000</v>
      </c>
      <c r="H15" s="25">
        <v>9</v>
      </c>
      <c r="I15" s="26" t="s">
        <v>19</v>
      </c>
      <c r="J15" s="33">
        <v>150000</v>
      </c>
      <c r="K15" s="33">
        <v>150000</v>
      </c>
      <c r="L15" s="33">
        <v>150000</v>
      </c>
      <c r="M15" s="33">
        <v>150000</v>
      </c>
    </row>
    <row r="16" spans="1:13" s="28" customFormat="1" ht="26.25" customHeight="1">
      <c r="A16" s="50" t="s">
        <v>20</v>
      </c>
      <c r="B16" s="50"/>
      <c r="C16" s="36">
        <f>SUM(C7:C15)</f>
        <v>10945000</v>
      </c>
      <c r="D16" s="36">
        <f>SUM(D7:D15)</f>
        <v>11145000</v>
      </c>
      <c r="E16" s="36">
        <f>SUM(E7:E15)</f>
        <v>11045000</v>
      </c>
      <c r="F16" s="36">
        <f>SUM(F7:F15)</f>
        <v>11245000</v>
      </c>
      <c r="H16" s="50" t="s">
        <v>20</v>
      </c>
      <c r="I16" s="50"/>
      <c r="J16" s="36">
        <f>SUM(J7:J15)</f>
        <v>10945000</v>
      </c>
      <c r="K16" s="36">
        <f>SUM(K7:K15)</f>
        <v>11145000</v>
      </c>
      <c r="L16" s="36">
        <f>SUM(L7:L15)</f>
        <v>11045000</v>
      </c>
      <c r="M16" s="36">
        <f>SUM(M7:M15)</f>
        <v>11245000</v>
      </c>
    </row>
    <row r="17" spans="1:13" s="9" customFormat="1" ht="18" customHeight="1">
      <c r="A17" s="6"/>
      <c r="B17" s="7"/>
      <c r="C17" s="8"/>
      <c r="D17" s="8"/>
      <c r="H17" s="6"/>
      <c r="I17" s="7"/>
      <c r="J17" s="8"/>
      <c r="K17" s="8"/>
    </row>
    <row r="18" spans="1:13" s="11" customFormat="1" ht="17.25" customHeight="1">
      <c r="A18" s="10">
        <v>1</v>
      </c>
      <c r="B18" s="37" t="s">
        <v>21</v>
      </c>
      <c r="C18" s="37"/>
      <c r="D18" s="37"/>
      <c r="E18" s="37"/>
      <c r="F18" s="37"/>
      <c r="H18" s="10">
        <v>1</v>
      </c>
      <c r="I18" s="37" t="s">
        <v>21</v>
      </c>
      <c r="J18" s="37"/>
      <c r="K18" s="37"/>
      <c r="L18" s="37"/>
      <c r="M18" s="37"/>
    </row>
    <row r="19" spans="1:13" s="11" customFormat="1" ht="17.25" customHeight="1">
      <c r="A19" s="10">
        <v>2</v>
      </c>
      <c r="B19" s="37" t="s">
        <v>22</v>
      </c>
      <c r="C19" s="37"/>
      <c r="D19" s="37"/>
      <c r="E19" s="37"/>
      <c r="F19" s="37"/>
      <c r="H19" s="10">
        <v>2</v>
      </c>
      <c r="I19" s="37" t="s">
        <v>22</v>
      </c>
      <c r="J19" s="37"/>
      <c r="K19" s="37"/>
      <c r="L19" s="37"/>
      <c r="M19" s="37"/>
    </row>
    <row r="20" spans="1:13" s="11" customFormat="1" ht="17.25" customHeight="1">
      <c r="A20" s="10">
        <v>3</v>
      </c>
      <c r="B20" s="37" t="s">
        <v>23</v>
      </c>
      <c r="C20" s="37"/>
      <c r="D20" s="37"/>
      <c r="E20" s="37"/>
      <c r="F20" s="37"/>
      <c r="H20" s="10">
        <v>3</v>
      </c>
      <c r="I20" s="37" t="s">
        <v>23</v>
      </c>
      <c r="J20" s="37"/>
      <c r="K20" s="37"/>
      <c r="L20" s="37"/>
      <c r="M20" s="37"/>
    </row>
    <row r="21" spans="1:13" s="5" customFormat="1" ht="17.25" customHeight="1">
      <c r="A21" s="10">
        <v>4</v>
      </c>
      <c r="B21" s="37" t="s">
        <v>24</v>
      </c>
      <c r="C21" s="37"/>
      <c r="D21" s="37"/>
      <c r="E21" s="37"/>
      <c r="F21" s="37"/>
      <c r="H21" s="10">
        <v>4</v>
      </c>
      <c r="I21" s="37" t="s">
        <v>24</v>
      </c>
      <c r="J21" s="37"/>
      <c r="K21" s="37"/>
      <c r="L21" s="37"/>
      <c r="M21" s="37"/>
    </row>
    <row r="22" spans="1:13" s="13" customFormat="1" ht="16.5" customHeight="1">
      <c r="A22" s="4"/>
      <c r="B22" s="12"/>
      <c r="C22" s="12"/>
      <c r="D22" s="12"/>
      <c r="E22" s="12"/>
      <c r="F22" s="12"/>
      <c r="H22" s="4"/>
      <c r="I22" s="12"/>
      <c r="J22" s="12"/>
      <c r="K22" s="12"/>
      <c r="L22" s="12"/>
      <c r="M22" s="12"/>
    </row>
    <row r="23" spans="1:13" ht="11.25" hidden="1" customHeight="1"/>
    <row r="24" spans="1:13" s="16" customFormat="1" ht="15" hidden="1" customHeight="1">
      <c r="B24" s="17"/>
      <c r="I24" s="17"/>
    </row>
    <row r="25" spans="1:13" s="16" customFormat="1" ht="15" hidden="1" customHeight="1">
      <c r="B25" s="18" t="s">
        <v>25</v>
      </c>
      <c r="I25" s="18" t="s">
        <v>25</v>
      </c>
    </row>
    <row r="26" spans="1:13" s="16" customFormat="1" ht="18.75" hidden="1" customHeight="1">
      <c r="B26" s="19" t="s">
        <v>26</v>
      </c>
      <c r="E26" s="18"/>
      <c r="I26" s="19" t="s">
        <v>26</v>
      </c>
      <c r="L26" s="18"/>
    </row>
    <row r="27" spans="1:13" s="16" customFormat="1" ht="15" hidden="1" customHeight="1">
      <c r="B27" s="20"/>
      <c r="I27" s="20"/>
    </row>
    <row r="28" spans="1:13" s="16" customFormat="1" ht="15" hidden="1" customHeight="1">
      <c r="B28" s="20"/>
      <c r="I28" s="20"/>
    </row>
    <row r="29" spans="1:13" s="16" customFormat="1" ht="15" hidden="1" customHeight="1">
      <c r="B29" s="20"/>
      <c r="I29" s="20"/>
    </row>
    <row r="30" spans="1:13" s="16" customFormat="1" ht="15" hidden="1" customHeight="1">
      <c r="B30" s="20"/>
      <c r="I30" s="20"/>
    </row>
    <row r="31" spans="1:13" s="16" customFormat="1" ht="15" hidden="1" customHeight="1">
      <c r="B31" s="38" t="s">
        <v>27</v>
      </c>
      <c r="C31" s="38"/>
      <c r="E31" s="39"/>
      <c r="F31" s="39"/>
      <c r="I31" s="38" t="s">
        <v>27</v>
      </c>
      <c r="J31" s="38"/>
      <c r="L31" s="39"/>
      <c r="M31" s="39"/>
    </row>
    <row r="32" spans="1:13" s="16" customFormat="1" ht="15" hidden="1" customHeight="1">
      <c r="B32" s="19" t="s">
        <v>28</v>
      </c>
      <c r="E32" s="40"/>
      <c r="F32" s="40"/>
      <c r="I32" s="19" t="s">
        <v>28</v>
      </c>
      <c r="L32" s="40"/>
      <c r="M32" s="40"/>
    </row>
    <row r="33" ht="11.25" hidden="1" customHeight="1"/>
    <row r="34" ht="11.25" hidden="1" customHeight="1"/>
    <row r="35" ht="11.25" hidden="1" customHeight="1"/>
    <row r="36" ht="11.25" hidden="1" customHeight="1"/>
    <row r="37" ht="11.25" hidden="1" customHeight="1"/>
    <row r="38" ht="11.25" hidden="1" customHeight="1"/>
    <row r="39" ht="11.25" hidden="1" customHeight="1"/>
    <row r="40" ht="11.25" hidden="1" customHeight="1"/>
    <row r="41" ht="11.25" hidden="1" customHeight="1"/>
    <row r="42" ht="11.25" hidden="1" customHeight="1"/>
    <row r="43" ht="11.25" hidden="1" customHeight="1"/>
    <row r="44" ht="11.25" hidden="1" customHeight="1"/>
    <row r="45" ht="11.25" hidden="1" customHeight="1"/>
    <row r="46" ht="11.25" hidden="1" customHeight="1"/>
    <row r="47" ht="11.25" hidden="1" customHeight="1"/>
    <row r="48" ht="11.25" hidden="1" customHeight="1"/>
    <row r="49" ht="11.25" hidden="1" customHeight="1"/>
    <row r="50" ht="11.25" hidden="1" customHeight="1"/>
  </sheetData>
  <mergeCells count="30">
    <mergeCell ref="A1:F1"/>
    <mergeCell ref="A2:F2"/>
    <mergeCell ref="A3:F3"/>
    <mergeCell ref="A16:B16"/>
    <mergeCell ref="H16:I16"/>
    <mergeCell ref="B18:F18"/>
    <mergeCell ref="I18:M18"/>
    <mergeCell ref="A5:A6"/>
    <mergeCell ref="B5:B6"/>
    <mergeCell ref="C5:D5"/>
    <mergeCell ref="E5:F5"/>
    <mergeCell ref="I19:M19"/>
    <mergeCell ref="B31:C31"/>
    <mergeCell ref="E31:F31"/>
    <mergeCell ref="E32:F32"/>
    <mergeCell ref="B19:F19"/>
    <mergeCell ref="B20:F20"/>
    <mergeCell ref="B21:F21"/>
    <mergeCell ref="H1:M1"/>
    <mergeCell ref="H2:M2"/>
    <mergeCell ref="H3:M3"/>
    <mergeCell ref="H5:H6"/>
    <mergeCell ref="I5:I6"/>
    <mergeCell ref="J5:K5"/>
    <mergeCell ref="L5:M5"/>
    <mergeCell ref="I20:M20"/>
    <mergeCell ref="I21:M21"/>
    <mergeCell ref="I31:J31"/>
    <mergeCell ref="L31:M31"/>
    <mergeCell ref="L32:M32"/>
  </mergeCells>
  <printOptions horizontalCentered="1"/>
  <pageMargins left="0.11811023622047245" right="0.11811023622047245" top="0.39370078740157483" bottom="0.35433070866141736" header="0.31496062992125984" footer="0.31496062992125984"/>
  <pageSetup paperSize="10000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A0B9-9506-46C8-82EA-956C21F3712B}">
  <dimension ref="A1:F50"/>
  <sheetViews>
    <sheetView tabSelected="1" topLeftCell="A4" zoomScaleNormal="100" workbookViewId="0">
      <selection activeCell="B9" sqref="B9"/>
    </sheetView>
  </sheetViews>
  <sheetFormatPr defaultColWidth="8" defaultRowHeight="11.25"/>
  <cols>
    <col min="1" max="1" width="3.625" style="14" customWidth="1"/>
    <col min="2" max="2" width="39.625" style="15" customWidth="1"/>
    <col min="3" max="6" width="15.5" style="14" customWidth="1"/>
    <col min="7" max="7" width="6.75" style="14" customWidth="1"/>
    <col min="8" max="16384" width="8" style="14"/>
  </cols>
  <sheetData>
    <row r="1" spans="1:6" s="1" customFormat="1" ht="29.25" customHeight="1">
      <c r="A1" s="41" t="s">
        <v>0</v>
      </c>
      <c r="B1" s="41"/>
      <c r="C1" s="41"/>
      <c r="D1" s="41"/>
      <c r="E1" s="41"/>
      <c r="F1" s="41"/>
    </row>
    <row r="2" spans="1:6" s="1" customFormat="1" ht="29.25" customHeight="1">
      <c r="A2" s="41" t="s">
        <v>1</v>
      </c>
      <c r="B2" s="41"/>
      <c r="C2" s="41"/>
      <c r="D2" s="41"/>
      <c r="E2" s="41"/>
      <c r="F2" s="41"/>
    </row>
    <row r="3" spans="1:6" s="1" customFormat="1" ht="29.25" customHeight="1">
      <c r="A3" s="41" t="s">
        <v>2</v>
      </c>
      <c r="B3" s="41"/>
      <c r="C3" s="41"/>
      <c r="D3" s="41"/>
      <c r="E3" s="41"/>
      <c r="F3" s="41"/>
    </row>
    <row r="4" spans="1:6" s="3" customFormat="1" ht="20.25" customHeight="1">
      <c r="A4" s="2"/>
      <c r="B4" s="2"/>
      <c r="C4" s="2"/>
      <c r="D4" s="2"/>
    </row>
    <row r="5" spans="1:6" s="22" customFormat="1" ht="36.75" customHeight="1">
      <c r="A5" s="42" t="s">
        <v>3</v>
      </c>
      <c r="B5" s="44" t="s">
        <v>4</v>
      </c>
      <c r="C5" s="46" t="s">
        <v>5</v>
      </c>
      <c r="D5" s="47"/>
      <c r="E5" s="48" t="s">
        <v>6</v>
      </c>
      <c r="F5" s="49"/>
    </row>
    <row r="6" spans="1:6" s="24" customFormat="1" ht="28.5" customHeight="1">
      <c r="A6" s="43"/>
      <c r="B6" s="45"/>
      <c r="C6" s="35" t="s">
        <v>7</v>
      </c>
      <c r="D6" s="35" t="s">
        <v>8</v>
      </c>
      <c r="E6" s="35" t="s">
        <v>9</v>
      </c>
      <c r="F6" s="35" t="s">
        <v>10</v>
      </c>
    </row>
    <row r="7" spans="1:6" s="28" customFormat="1" ht="35.25" customHeight="1">
      <c r="A7" s="25">
        <v>1</v>
      </c>
      <c r="B7" s="26" t="s">
        <v>11</v>
      </c>
      <c r="C7" s="27">
        <v>700000</v>
      </c>
      <c r="D7" s="27">
        <v>700000</v>
      </c>
      <c r="E7" s="27">
        <v>800000</v>
      </c>
      <c r="F7" s="27">
        <v>800000</v>
      </c>
    </row>
    <row r="8" spans="1:6" s="32" customFormat="1" ht="41.25" customHeight="1">
      <c r="A8" s="29">
        <v>2</v>
      </c>
      <c r="B8" s="30" t="s">
        <v>12</v>
      </c>
      <c r="C8" s="31">
        <v>2500000</v>
      </c>
      <c r="D8" s="31">
        <v>2500000</v>
      </c>
      <c r="E8" s="31">
        <v>2500000</v>
      </c>
      <c r="F8" s="31">
        <v>2500000</v>
      </c>
    </row>
    <row r="9" spans="1:6" s="28" customFormat="1" ht="22.5" customHeight="1">
      <c r="A9" s="25">
        <v>3</v>
      </c>
      <c r="B9" s="26" t="s">
        <v>13</v>
      </c>
      <c r="C9" s="33">
        <v>4000000</v>
      </c>
      <c r="D9" s="33">
        <v>4000000</v>
      </c>
      <c r="E9" s="33">
        <v>4000000</v>
      </c>
      <c r="F9" s="33">
        <v>4000000</v>
      </c>
    </row>
    <row r="10" spans="1:6" s="32" customFormat="1" ht="76.5" customHeight="1">
      <c r="A10" s="29">
        <v>4</v>
      </c>
      <c r="B10" s="30" t="s">
        <v>14</v>
      </c>
      <c r="C10" s="31">
        <v>550000</v>
      </c>
      <c r="D10" s="31">
        <v>550000</v>
      </c>
      <c r="E10" s="31">
        <v>550000</v>
      </c>
      <c r="F10" s="31">
        <v>550000</v>
      </c>
    </row>
    <row r="11" spans="1:6" s="28" customFormat="1" ht="30.75" customHeight="1">
      <c r="A11" s="25">
        <v>5</v>
      </c>
      <c r="B11" s="26" t="s">
        <v>15</v>
      </c>
      <c r="C11" s="33">
        <v>100000</v>
      </c>
      <c r="D11" s="33">
        <v>100000</v>
      </c>
      <c r="E11" s="33">
        <v>100000</v>
      </c>
      <c r="F11" s="33">
        <v>100000</v>
      </c>
    </row>
    <row r="12" spans="1:6" s="28" customFormat="1" ht="30.75" customHeight="1">
      <c r="A12" s="29">
        <v>6</v>
      </c>
      <c r="B12" s="30" t="s">
        <v>16</v>
      </c>
      <c r="C12" s="34">
        <v>800000</v>
      </c>
      <c r="D12" s="34">
        <v>800000</v>
      </c>
      <c r="E12" s="34">
        <v>800000</v>
      </c>
      <c r="F12" s="34">
        <v>800000</v>
      </c>
    </row>
    <row r="13" spans="1:6" s="28" customFormat="1" ht="39" customHeight="1">
      <c r="A13" s="25">
        <v>7</v>
      </c>
      <c r="B13" s="26" t="s">
        <v>17</v>
      </c>
      <c r="C13" s="33">
        <v>550000</v>
      </c>
      <c r="D13" s="33">
        <v>550000</v>
      </c>
      <c r="E13" s="33">
        <v>550000</v>
      </c>
      <c r="F13" s="33">
        <v>550000</v>
      </c>
    </row>
    <row r="14" spans="1:6" s="24" customFormat="1" ht="115.5" customHeight="1">
      <c r="A14" s="29">
        <v>8</v>
      </c>
      <c r="B14" s="30" t="s">
        <v>18</v>
      </c>
      <c r="C14" s="34">
        <f>1565000+30000</f>
        <v>1595000</v>
      </c>
      <c r="D14" s="34">
        <f>1765000+30000</f>
        <v>1795000</v>
      </c>
      <c r="E14" s="34">
        <f>1565000+30000</f>
        <v>1595000</v>
      </c>
      <c r="F14" s="34">
        <f>1765000+30000</f>
        <v>1795000</v>
      </c>
    </row>
    <row r="15" spans="1:6" s="28" customFormat="1" ht="26.25" customHeight="1">
      <c r="A15" s="25">
        <v>9</v>
      </c>
      <c r="B15" s="26" t="s">
        <v>19</v>
      </c>
      <c r="C15" s="33">
        <v>150000</v>
      </c>
      <c r="D15" s="33">
        <v>150000</v>
      </c>
      <c r="E15" s="33">
        <v>150000</v>
      </c>
      <c r="F15" s="33">
        <v>150000</v>
      </c>
    </row>
    <row r="16" spans="1:6" s="28" customFormat="1" ht="26.25" customHeight="1">
      <c r="A16" s="50" t="s">
        <v>20</v>
      </c>
      <c r="B16" s="50"/>
      <c r="C16" s="36">
        <f>SUM(C7:C15)</f>
        <v>10945000</v>
      </c>
      <c r="D16" s="36">
        <f>SUM(D7:D15)</f>
        <v>11145000</v>
      </c>
      <c r="E16" s="36">
        <f>SUM(E7:E15)</f>
        <v>11045000</v>
      </c>
      <c r="F16" s="36">
        <f>SUM(F7:F15)</f>
        <v>11245000</v>
      </c>
    </row>
    <row r="17" spans="1:6" s="9" customFormat="1" ht="18" customHeight="1">
      <c r="A17" s="6"/>
      <c r="B17" s="7"/>
      <c r="C17" s="8"/>
      <c r="D17" s="8"/>
    </row>
    <row r="18" spans="1:6" s="11" customFormat="1" ht="17.25" customHeight="1">
      <c r="A18" s="10">
        <v>1</v>
      </c>
      <c r="B18" s="37" t="s">
        <v>21</v>
      </c>
      <c r="C18" s="37"/>
      <c r="D18" s="37"/>
      <c r="E18" s="37"/>
      <c r="F18" s="37"/>
    </row>
    <row r="19" spans="1:6" s="11" customFormat="1" ht="17.25" customHeight="1">
      <c r="A19" s="10">
        <v>2</v>
      </c>
      <c r="B19" s="37" t="s">
        <v>22</v>
      </c>
      <c r="C19" s="37"/>
      <c r="D19" s="37"/>
      <c r="E19" s="37"/>
      <c r="F19" s="37"/>
    </row>
    <row r="20" spans="1:6" s="11" customFormat="1" ht="17.25" customHeight="1">
      <c r="A20" s="10">
        <v>3</v>
      </c>
      <c r="B20" s="37" t="s">
        <v>23</v>
      </c>
      <c r="C20" s="37"/>
      <c r="D20" s="37"/>
      <c r="E20" s="37"/>
      <c r="F20" s="37"/>
    </row>
    <row r="21" spans="1:6" s="5" customFormat="1" ht="17.25" customHeight="1">
      <c r="A21" s="10">
        <v>4</v>
      </c>
      <c r="B21" s="37" t="s">
        <v>24</v>
      </c>
      <c r="C21" s="37"/>
      <c r="D21" s="37"/>
      <c r="E21" s="37"/>
      <c r="F21" s="37"/>
    </row>
    <row r="22" spans="1:6" s="13" customFormat="1" ht="16.5" customHeight="1">
      <c r="A22" s="4"/>
      <c r="B22" s="12"/>
      <c r="C22" s="12"/>
      <c r="D22" s="12"/>
      <c r="E22" s="12"/>
      <c r="F22" s="12"/>
    </row>
    <row r="23" spans="1:6" ht="11.25" hidden="1" customHeight="1"/>
    <row r="24" spans="1:6" s="16" customFormat="1" ht="15" hidden="1" customHeight="1">
      <c r="B24" s="17"/>
    </row>
    <row r="25" spans="1:6" s="16" customFormat="1" ht="15" hidden="1" customHeight="1">
      <c r="B25" s="21" t="s">
        <v>25</v>
      </c>
    </row>
    <row r="26" spans="1:6" s="16" customFormat="1" ht="18.75" hidden="1" customHeight="1">
      <c r="B26" s="19" t="s">
        <v>26</v>
      </c>
      <c r="E26" s="21"/>
    </row>
    <row r="27" spans="1:6" s="16" customFormat="1" ht="15" hidden="1" customHeight="1">
      <c r="B27" s="20"/>
    </row>
    <row r="28" spans="1:6" s="16" customFormat="1" ht="15" hidden="1" customHeight="1">
      <c r="B28" s="20"/>
    </row>
    <row r="29" spans="1:6" s="16" customFormat="1" ht="15" hidden="1" customHeight="1">
      <c r="B29" s="20"/>
    </row>
    <row r="30" spans="1:6" s="16" customFormat="1" ht="15" hidden="1" customHeight="1">
      <c r="B30" s="20"/>
    </row>
    <row r="31" spans="1:6" s="16" customFormat="1" ht="15" hidden="1" customHeight="1">
      <c r="B31" s="38" t="s">
        <v>27</v>
      </c>
      <c r="C31" s="38"/>
      <c r="E31" s="39"/>
      <c r="F31" s="39"/>
    </row>
    <row r="32" spans="1:6" s="16" customFormat="1" ht="15" hidden="1" customHeight="1">
      <c r="B32" s="19" t="s">
        <v>28</v>
      </c>
      <c r="E32" s="40"/>
      <c r="F32" s="40"/>
    </row>
    <row r="33" ht="11.25" hidden="1" customHeight="1"/>
    <row r="34" ht="11.25" hidden="1" customHeight="1"/>
    <row r="35" ht="11.25" hidden="1" customHeight="1"/>
    <row r="36" ht="11.25" hidden="1" customHeight="1"/>
    <row r="37" ht="11.25" hidden="1" customHeight="1"/>
    <row r="38" ht="11.25" hidden="1" customHeight="1"/>
    <row r="39" ht="11.25" hidden="1" customHeight="1"/>
    <row r="40" ht="11.25" hidden="1" customHeight="1"/>
    <row r="41" ht="11.25" hidden="1" customHeight="1"/>
    <row r="42" ht="11.25" hidden="1" customHeight="1"/>
    <row r="43" ht="11.25" hidden="1" customHeight="1"/>
    <row r="44" ht="11.25" hidden="1" customHeight="1"/>
    <row r="45" ht="11.25" hidden="1" customHeight="1"/>
    <row r="46" ht="11.25" hidden="1" customHeight="1"/>
    <row r="47" ht="11.25" hidden="1" customHeight="1"/>
    <row r="48" ht="11.25" hidden="1" customHeight="1"/>
    <row r="49" ht="11.25" hidden="1" customHeight="1"/>
    <row r="50" ht="11.25" hidden="1" customHeight="1"/>
  </sheetData>
  <mergeCells count="15">
    <mergeCell ref="B31:C31"/>
    <mergeCell ref="E31:F31"/>
    <mergeCell ref="E32:F32"/>
    <mergeCell ref="B19:F19"/>
    <mergeCell ref="B20:F20"/>
    <mergeCell ref="B21:F21"/>
    <mergeCell ref="A16:B16"/>
    <mergeCell ref="B18:F18"/>
    <mergeCell ref="A5:A6"/>
    <mergeCell ref="B5:B6"/>
    <mergeCell ref="C5:D5"/>
    <mergeCell ref="E5:F5"/>
    <mergeCell ref="A1:F1"/>
    <mergeCell ref="A2:F2"/>
    <mergeCell ref="A3:F3"/>
  </mergeCells>
  <printOptions horizontalCentered="1"/>
  <pageMargins left="0.62992125984251968" right="0.55118110236220474" top="0.39370078740157483" bottom="0.35433070866141736" header="0.31496062992125984" footer="0.31496062992125984"/>
  <pageSetup paperSize="10000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0CA6-8E8A-4B99-86D4-F79984D0CD92}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biaya 2728</vt:lpstr>
      <vt:lpstr>biaya 2728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nurhayanah</dc:creator>
  <cp:lastModifiedBy>nurhayanah</cp:lastModifiedBy>
  <cp:lastPrinted>2026-09-21T02:09:51Z</cp:lastPrinted>
  <dcterms:created xsi:type="dcterms:W3CDTF">2026-09-21T01:46:15Z</dcterms:created>
  <dcterms:modified xsi:type="dcterms:W3CDTF">2026-09-21T02:10:20Z</dcterms:modified>
</cp:coreProperties>
</file>